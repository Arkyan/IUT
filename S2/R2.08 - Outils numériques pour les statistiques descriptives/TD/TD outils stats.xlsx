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idry\OneDrive\Documents\GitHub\IUT\S2\R2.08 - Outils numériques pour les statistiques descriptives\TD\"/>
    </mc:Choice>
  </mc:AlternateContent>
  <xr:revisionPtr revIDLastSave="0" documentId="13_ncr:1_{23F97736-B6D6-4957-99F9-7F2396F0D2C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 1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G27" i="1"/>
  <c r="F28" i="1"/>
  <c r="G28" i="1"/>
  <c r="F29" i="1"/>
  <c r="G29" i="1"/>
  <c r="F30" i="1"/>
  <c r="G30" i="1"/>
  <c r="G31" i="1" s="1"/>
  <c r="G32" i="1" s="1"/>
  <c r="G33" i="1" s="1"/>
  <c r="G34" i="1" s="1"/>
  <c r="G35" i="1" s="1"/>
  <c r="G36" i="1" s="1"/>
  <c r="G37" i="1" s="1"/>
  <c r="G38" i="1" s="1"/>
  <c r="F31" i="1"/>
  <c r="F32" i="1"/>
  <c r="F33" i="1"/>
  <c r="F34" i="1"/>
  <c r="F35" i="1"/>
  <c r="F36" i="1"/>
  <c r="F37" i="1"/>
  <c r="F38" i="1"/>
  <c r="F39" i="1"/>
</calcChain>
</file>

<file path=xl/sharedStrings.xml><?xml version="1.0" encoding="utf-8"?>
<sst xmlns="http://schemas.openxmlformats.org/spreadsheetml/2006/main" count="52" uniqueCount="27">
  <si>
    <t>Dataset</t>
  </si>
  <si>
    <t>Age</t>
  </si>
  <si>
    <t>Loisirs</t>
  </si>
  <si>
    <t>S</t>
  </si>
  <si>
    <t>C</t>
  </si>
  <si>
    <t>T</t>
  </si>
  <si>
    <t>L</t>
  </si>
  <si>
    <t>Table 1</t>
  </si>
  <si>
    <t>Age xi</t>
  </si>
  <si>
    <t>Effectif Ni</t>
  </si>
  <si>
    <t>Fréquence fi</t>
  </si>
  <si>
    <t>Fréquence cumulée Fi</t>
  </si>
  <si>
    <t>Fi • xi</t>
  </si>
  <si>
    <t>Total</t>
  </si>
  <si>
    <t>Loisir xi</t>
  </si>
  <si>
    <t>Fi * xi</t>
  </si>
  <si>
    <t>Sport</t>
  </si>
  <si>
    <t>0.2</t>
  </si>
  <si>
    <t>JPENSE PAS POSSIBLE</t>
  </si>
  <si>
    <t>Cinéma</t>
  </si>
  <si>
    <t>0.3</t>
  </si>
  <si>
    <t>0.5</t>
  </si>
  <si>
    <t>Lecture</t>
  </si>
  <si>
    <t>0.25</t>
  </si>
  <si>
    <t>0.75</t>
  </si>
  <si>
    <t>Théâtre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</si>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</sst>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Helvetica Neue"/>
    </font>
    <font>
      <sz val="12"/>
      <color indexed="8"/>
      <name val="Helvetica Neue"/>
    </font>
    <font>
      <b/>
      <sz val="12"/>
      <color indexed="8"/>
      <name val="Avenir Next Regular"/>
    </font>
    <font>
      <sz val="12"/>
      <color indexed="8"/>
      <name val="Avenir Next Regular"/>
    </font>
    <font>
      <b/>
      <sz val="10"/>
      <color indexed="8"/>
      <name val="Helvetica Neue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4A86E8"/>
        <bgColor indexed="64"/>
      </patternFill>
    </fill>
    <fill>
      <patternFill patternType="solid">
        <fgColor rgb="FF000000"/>
        <bgColor indexed="64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0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4" fillId="2" borderId="2" xfId="0" applyNumberFormat="1" applyFont="1" applyFill="1" applyBorder="1">
      <alignment vertical="top" wrapText="1"/>
    </xf>
    <xf numFmtId="0" fontId="4" fillId="3" borderId="3" xfId="0" applyNumberFormat="1" applyFont="1" applyFill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5" xfId="0" applyNumberFormat="1" applyBorder="1">
      <alignment vertical="top" wrapText="1"/>
    </xf>
    <xf numFmtId="0" fontId="0" fillId="0" borderId="5" xfId="0" applyBorder="1">
      <alignment vertical="top" wrapText="1"/>
    </xf>
    <xf numFmtId="0" fontId="4" fillId="3" borderId="6" xfId="0" applyNumberFormat="1" applyFont="1" applyFill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0" fontId="0" fillId="0" borderId="1" xfId="0" applyBorder="1">
      <alignment vertical="top" wrapText="1"/>
    </xf>
    <xf numFmtId="49" fontId="4" fillId="3" borderId="6" xfId="0" applyNumberFormat="1" applyFont="1" applyFill="1" applyBorder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BDC0BF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'Sheet 1'!$D$27:$D$38</c:f>
              <c:numCache>
                <c:formatCode>General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25</c:v>
                </c:pt>
                <c:pt idx="3">
                  <c:v>26</c:v>
                </c:pt>
                <c:pt idx="4">
                  <c:v>28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75</c:v>
                </c:pt>
              </c:numCache>
            </c:numRef>
          </c:cat>
          <c:val>
            <c:numRef>
              <c:f>'Sheet 1'!$E$27:$E$38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4-4E0F-97A6-5BE045E3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818096"/>
        <c:axId val="181819056"/>
      </c:barChart>
      <c:catAx>
        <c:axId val="18181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819056"/>
        <c:crosses val="autoZero"/>
        <c:auto val="1"/>
        <c:lblAlgn val="ctr"/>
        <c:lblOffset val="100"/>
        <c:noMultiLvlLbl val="0"/>
      </c:catAx>
      <c:valAx>
        <c:axId val="18181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EFFECTIF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8180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13998250218727E-2"/>
          <c:y val="2.3264071157771946E-2"/>
          <c:w val="0.91598600174978129"/>
          <c:h val="0.7311111111111111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Feuil1!$F$28:$F$31</c:f>
              <c:strCache>
                <c:ptCount val="4"/>
                <c:pt idx="0">
                  <c:v>Sport</c:v>
                </c:pt>
                <c:pt idx="1">
                  <c:v>Cinéma</c:v>
                </c:pt>
                <c:pt idx="2">
                  <c:v>Lecture</c:v>
                </c:pt>
                <c:pt idx="3">
                  <c:v>Théâtre</c:v>
                </c:pt>
              </c:strCache>
            </c:strRef>
          </c:cat>
          <c:val>
            <c:numRef>
              <c:f>Feuil1!$G$28:$G$31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4-43F9-BF6F-38A0AA090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9314368"/>
        <c:axId val="1859314848"/>
      </c:barChart>
      <c:catAx>
        <c:axId val="185931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9314848"/>
        <c:crosses val="autoZero"/>
        <c:auto val="1"/>
        <c:lblAlgn val="ctr"/>
        <c:lblOffset val="100"/>
        <c:noMultiLvlLbl val="0"/>
      </c:catAx>
      <c:valAx>
        <c:axId val="185931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93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Feuil1!$F$28:$F$31</c:f>
              <c:strCache>
                <c:ptCount val="4"/>
                <c:pt idx="0">
                  <c:v>Sport</c:v>
                </c:pt>
                <c:pt idx="1">
                  <c:v>Cinéma</c:v>
                </c:pt>
                <c:pt idx="2">
                  <c:v>Lecture</c:v>
                </c:pt>
                <c:pt idx="3">
                  <c:v>Théâtre</c:v>
                </c:pt>
              </c:strCache>
            </c:strRef>
          </c:cat>
          <c:val>
            <c:numRef>
              <c:f>Feuil1!$G$28:$G$31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0-4093-BEC4-D0329DBA6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386177</xdr:colOff>
      <xdr:row>2</xdr:row>
      <xdr:rowOff>100359</xdr:rowOff>
    </xdr:from>
    <xdr:to>
      <xdr:col>7</xdr:col>
      <xdr:colOff>83930</xdr:colOff>
      <xdr:row>10</xdr:row>
      <xdr:rowOff>140142</xdr:rowOff>
    </xdr:to>
    <xdr:sp macro="" textlink="">
      <xdr:nvSpPr>
        <xdr:cNvPr id="2" name="Le mode : on cherche le max (dans Ni) et on récup les valeurs (donc ici 25, 30, 50)…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014086" y="596814"/>
          <a:ext cx="4177389" cy="188705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Le mode : on cherche le max (dans Ni) et on récup les valeurs (donc ici 25, 30, 50)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X barre = 36</a:t>
          </a:r>
          <a:endParaRPr lang="fr-FR"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lang="fr-FR"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lvl="0" indent="0" algn="l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lang="fr-FR" sz="1100" b="0" i="0" u="none" strike="noStrike" cap="none" baseline="0">
              <a:effectLst/>
              <a:latin typeface="+mn-lt"/>
              <a:ea typeface="+mn-ea"/>
              <a:cs typeface="+mn-cs"/>
              <a:sym typeface="Helvetica Neue"/>
            </a:rPr>
            <a:t>Q1 = 1/2*0,5 =0,25 donc ici 25</a:t>
          </a: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Q2 = mediane = on prend la moitié de Fi et on prend la valeurs (donc ici 30)</a:t>
          </a: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sz="1100" b="0" i="0" u="none" strike="noStrike" cap="none" spc="0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sz="1100" b="0" i="0" u="none" strike="noStrike" cap="none" spc="0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Q3 = 45</a:t>
          </a:r>
        </a:p>
      </xdr:txBody>
    </xdr:sp>
    <xdr:clientData/>
  </xdr:twoCellAnchor>
  <xdr:twoCellAnchor>
    <xdr:from>
      <xdr:col>8</xdr:col>
      <xdr:colOff>1287318</xdr:colOff>
      <xdr:row>28</xdr:row>
      <xdr:rowOff>31173</xdr:rowOff>
    </xdr:from>
    <xdr:to>
      <xdr:col>11</xdr:col>
      <xdr:colOff>196272</xdr:colOff>
      <xdr:row>46</xdr:row>
      <xdr:rowOff>103909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6BC0C524-1FA7-0D88-81E9-E436B258F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769620</xdr:colOff>
      <xdr:row>20</xdr:row>
      <xdr:rowOff>34290</xdr:rowOff>
    </xdr:from>
    <xdr:to>
      <xdr:col>18</xdr:col>
      <xdr:colOff>685800</xdr:colOff>
      <xdr:row>31</xdr:row>
      <xdr:rowOff>76200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3E6053-65C7-AC26-CF4B-150A6CD57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106680</xdr:colOff>
      <xdr:row>32</xdr:row>
      <xdr:rowOff>114300</xdr:rowOff>
    </xdr:from>
    <xdr:to>
      <xdr:col>17</xdr:col>
      <xdr:colOff>434340</xdr:colOff>
      <xdr:row>51</xdr:row>
      <xdr:rowOff>102870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C3B355F-5360-6B04-AC45-FFF89C9A5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9"/>
  <sheetViews>
    <sheetView showGridLines="0" topLeftCell="A63" zoomScale="66" zoomScaleNormal="66" workbookViewId="0">
      <selection activeCell="F61" sqref="F61"/>
    </sheetView>
  </sheetViews>
  <sheetFormatPr baseColWidth="10" defaultColWidth="41.6640625" defaultRowHeight="19.95" customHeight="1"/>
  <cols>
    <col min="1" max="1" width="3.44140625" style="1" customWidth="1"/>
    <col min="2" max="2" width="9.77734375" style="1" customWidth="1"/>
    <col min="3" max="3" width="10.5546875" style="1" customWidth="1"/>
    <col min="4" max="8" width="16.33203125" style="1" customWidth="1"/>
    <col min="9" max="12" width="41.6640625" style="1" customWidth="1"/>
    <col min="13" max="16384" width="41.6640625" style="1"/>
  </cols>
  <sheetData>
    <row r="1" spans="2:3" ht="12.15" customHeight="1"/>
    <row r="2" spans="2:3" ht="27.6" customHeight="1">
      <c r="B2" s="15" t="s">
        <v>0</v>
      </c>
      <c r="C2" s="15"/>
    </row>
    <row r="3" spans="2:3" ht="18.3" customHeight="1">
      <c r="B3" s="2" t="s">
        <v>1</v>
      </c>
      <c r="C3" s="2" t="s">
        <v>2</v>
      </c>
    </row>
    <row r="4" spans="2:3" ht="18.3" customHeight="1">
      <c r="B4" s="3">
        <v>12</v>
      </c>
      <c r="C4" s="4" t="s">
        <v>3</v>
      </c>
    </row>
    <row r="5" spans="2:3" ht="18.3" customHeight="1">
      <c r="B5" s="3">
        <v>14</v>
      </c>
      <c r="C5" s="4" t="s">
        <v>3</v>
      </c>
    </row>
    <row r="6" spans="2:3" ht="18.3" customHeight="1">
      <c r="B6" s="3">
        <v>40</v>
      </c>
      <c r="C6" s="4" t="s">
        <v>4</v>
      </c>
    </row>
    <row r="7" spans="2:3" ht="18.3" customHeight="1">
      <c r="B7" s="3">
        <v>35</v>
      </c>
      <c r="C7" s="4" t="s">
        <v>4</v>
      </c>
    </row>
    <row r="8" spans="2:3" ht="18.3" customHeight="1">
      <c r="B8" s="3">
        <v>26</v>
      </c>
      <c r="C8" s="4" t="s">
        <v>3</v>
      </c>
    </row>
    <row r="9" spans="2:3" ht="18.3" customHeight="1">
      <c r="B9" s="3">
        <v>30</v>
      </c>
      <c r="C9" s="4" t="s">
        <v>5</v>
      </c>
    </row>
    <row r="10" spans="2:3" ht="18.3" customHeight="1">
      <c r="B10" s="3">
        <v>30</v>
      </c>
      <c r="C10" s="4" t="s">
        <v>5</v>
      </c>
    </row>
    <row r="11" spans="2:3" ht="18.3" customHeight="1">
      <c r="B11" s="3">
        <v>50</v>
      </c>
      <c r="C11" s="4" t="s">
        <v>6</v>
      </c>
    </row>
    <row r="12" spans="2:3" ht="18.3" customHeight="1">
      <c r="B12" s="3">
        <v>75</v>
      </c>
      <c r="C12" s="4" t="s">
        <v>6</v>
      </c>
    </row>
    <row r="13" spans="2:3" ht="18.3" customHeight="1">
      <c r="B13" s="3">
        <v>50</v>
      </c>
      <c r="C13" s="4" t="s">
        <v>6</v>
      </c>
    </row>
    <row r="14" spans="2:3" ht="18.3" customHeight="1">
      <c r="B14" s="3">
        <v>30</v>
      </c>
      <c r="C14" s="4" t="s">
        <v>5</v>
      </c>
    </row>
    <row r="15" spans="2:3" ht="18.3" customHeight="1">
      <c r="B15" s="3">
        <v>45</v>
      </c>
      <c r="C15" s="4" t="s">
        <v>4</v>
      </c>
    </row>
    <row r="16" spans="2:3" ht="18.3" customHeight="1">
      <c r="B16" s="3">
        <v>25</v>
      </c>
      <c r="C16" s="4" t="s">
        <v>4</v>
      </c>
    </row>
    <row r="17" spans="2:8" ht="18.3" customHeight="1">
      <c r="B17" s="3">
        <v>55</v>
      </c>
      <c r="C17" s="4" t="s">
        <v>4</v>
      </c>
    </row>
    <row r="18" spans="2:8" ht="18.3" customHeight="1">
      <c r="B18" s="3">
        <v>28</v>
      </c>
      <c r="C18" s="4" t="s">
        <v>3</v>
      </c>
    </row>
    <row r="19" spans="2:8" ht="18.3" customHeight="1">
      <c r="B19" s="3">
        <v>25</v>
      </c>
      <c r="C19" s="4" t="s">
        <v>6</v>
      </c>
    </row>
    <row r="20" spans="2:8" ht="18.3" customHeight="1">
      <c r="B20" s="3">
        <v>50</v>
      </c>
      <c r="C20" s="4" t="s">
        <v>6</v>
      </c>
    </row>
    <row r="21" spans="2:8" ht="18.3" customHeight="1">
      <c r="B21" s="3">
        <v>40</v>
      </c>
      <c r="C21" s="4" t="s">
        <v>4</v>
      </c>
    </row>
    <row r="22" spans="2:8" ht="18.3" customHeight="1">
      <c r="B22" s="3">
        <v>25</v>
      </c>
      <c r="C22" s="4" t="s">
        <v>5</v>
      </c>
    </row>
    <row r="23" spans="2:8" ht="18.3" customHeight="1">
      <c r="B23" s="3">
        <v>35</v>
      </c>
      <c r="C23" s="4" t="s">
        <v>5</v>
      </c>
    </row>
    <row r="25" spans="2:8" ht="27.6" customHeight="1">
      <c r="D25" s="15" t="s">
        <v>7</v>
      </c>
      <c r="E25" s="15"/>
      <c r="F25" s="15"/>
      <c r="G25" s="15"/>
      <c r="H25" s="15"/>
    </row>
    <row r="26" spans="2:8" ht="32.25" customHeight="1">
      <c r="D26" s="5" t="s">
        <v>8</v>
      </c>
      <c r="E26" s="5" t="s">
        <v>9</v>
      </c>
      <c r="F26" s="5" t="s">
        <v>10</v>
      </c>
      <c r="G26" s="5" t="s">
        <v>11</v>
      </c>
      <c r="H26" s="5" t="s">
        <v>12</v>
      </c>
    </row>
    <row r="27" spans="2:8" ht="20.25" customHeight="1">
      <c r="D27" s="6">
        <v>12</v>
      </c>
      <c r="E27" s="7">
        <v>1</v>
      </c>
      <c r="F27" s="8">
        <f t="shared" ref="F27:F39" si="0">E27/$E$39</f>
        <v>0.05</v>
      </c>
      <c r="G27" s="8">
        <f>F27</f>
        <v>0.05</v>
      </c>
      <c r="H27" s="9"/>
    </row>
    <row r="28" spans="2:8" ht="20.100000000000001" customHeight="1">
      <c r="D28" s="10">
        <v>14</v>
      </c>
      <c r="E28" s="11">
        <v>1</v>
      </c>
      <c r="F28" s="12">
        <f t="shared" si="0"/>
        <v>0.05</v>
      </c>
      <c r="G28" s="12">
        <f t="shared" ref="G28:G38" si="1">G27+F28</f>
        <v>0.1</v>
      </c>
      <c r="H28" s="13"/>
    </row>
    <row r="29" spans="2:8" ht="20.100000000000001" customHeight="1">
      <c r="D29" s="10">
        <v>25</v>
      </c>
      <c r="E29" s="11">
        <v>3</v>
      </c>
      <c r="F29" s="12">
        <f t="shared" si="0"/>
        <v>0.15</v>
      </c>
      <c r="G29" s="12">
        <f t="shared" si="1"/>
        <v>0.25</v>
      </c>
      <c r="H29" s="13"/>
    </row>
    <row r="30" spans="2:8" ht="20.100000000000001" customHeight="1">
      <c r="D30" s="10">
        <v>26</v>
      </c>
      <c r="E30" s="11">
        <v>1</v>
      </c>
      <c r="F30" s="12">
        <f t="shared" si="0"/>
        <v>0.05</v>
      </c>
      <c r="G30" s="12">
        <f t="shared" si="1"/>
        <v>0.3</v>
      </c>
      <c r="H30" s="13"/>
    </row>
    <row r="31" spans="2:8" ht="20.100000000000001" customHeight="1">
      <c r="D31" s="10">
        <v>28</v>
      </c>
      <c r="E31" s="11">
        <v>1</v>
      </c>
      <c r="F31" s="12">
        <f t="shared" si="0"/>
        <v>0.05</v>
      </c>
      <c r="G31" s="12">
        <f t="shared" si="1"/>
        <v>0.35</v>
      </c>
      <c r="H31" s="13"/>
    </row>
    <row r="32" spans="2:8" ht="20.100000000000001" customHeight="1">
      <c r="D32" s="10">
        <v>30</v>
      </c>
      <c r="E32" s="11">
        <v>3</v>
      </c>
      <c r="F32" s="12">
        <f t="shared" si="0"/>
        <v>0.15</v>
      </c>
      <c r="G32" s="12">
        <f t="shared" si="1"/>
        <v>0.5</v>
      </c>
      <c r="H32" s="13"/>
    </row>
    <row r="33" spans="4:8" ht="20.100000000000001" customHeight="1">
      <c r="D33" s="10">
        <v>35</v>
      </c>
      <c r="E33" s="11">
        <v>2</v>
      </c>
      <c r="F33" s="12">
        <f t="shared" si="0"/>
        <v>0.1</v>
      </c>
      <c r="G33" s="12">
        <f t="shared" si="1"/>
        <v>0.6</v>
      </c>
      <c r="H33" s="13"/>
    </row>
    <row r="34" spans="4:8" ht="20.100000000000001" customHeight="1">
      <c r="D34" s="10">
        <v>40</v>
      </c>
      <c r="E34" s="11">
        <v>2</v>
      </c>
      <c r="F34" s="12">
        <f t="shared" si="0"/>
        <v>0.1</v>
      </c>
      <c r="G34" s="12">
        <f t="shared" si="1"/>
        <v>0.7</v>
      </c>
      <c r="H34" s="13"/>
    </row>
    <row r="35" spans="4:8" ht="20.100000000000001" customHeight="1">
      <c r="D35" s="10">
        <v>45</v>
      </c>
      <c r="E35" s="11">
        <v>1</v>
      </c>
      <c r="F35" s="12">
        <f t="shared" si="0"/>
        <v>0.05</v>
      </c>
      <c r="G35" s="12">
        <f t="shared" si="1"/>
        <v>0.75</v>
      </c>
      <c r="H35" s="13"/>
    </row>
    <row r="36" spans="4:8" ht="20.100000000000001" customHeight="1">
      <c r="D36" s="10">
        <v>50</v>
      </c>
      <c r="E36" s="11">
        <v>3</v>
      </c>
      <c r="F36" s="12">
        <f t="shared" si="0"/>
        <v>0.15</v>
      </c>
      <c r="G36" s="12">
        <f t="shared" si="1"/>
        <v>0.9</v>
      </c>
      <c r="H36" s="13"/>
    </row>
    <row r="37" spans="4:8" ht="20.100000000000001" customHeight="1">
      <c r="D37" s="10">
        <v>55</v>
      </c>
      <c r="E37" s="11">
        <v>1</v>
      </c>
      <c r="F37" s="12">
        <f t="shared" si="0"/>
        <v>0.05</v>
      </c>
      <c r="G37" s="12">
        <f t="shared" si="1"/>
        <v>0.95000000000000007</v>
      </c>
      <c r="H37" s="13"/>
    </row>
    <row r="38" spans="4:8" ht="20.100000000000001" customHeight="1">
      <c r="D38" s="10">
        <v>75</v>
      </c>
      <c r="E38" s="11">
        <v>1</v>
      </c>
      <c r="F38" s="12">
        <f t="shared" si="0"/>
        <v>0.05</v>
      </c>
      <c r="G38" s="12">
        <f t="shared" si="1"/>
        <v>1</v>
      </c>
      <c r="H38" s="13"/>
    </row>
    <row r="39" spans="4:8" ht="20.100000000000001" customHeight="1">
      <c r="D39" s="14" t="s">
        <v>13</v>
      </c>
      <c r="E39" s="11">
        <v>20</v>
      </c>
      <c r="F39" s="12">
        <f t="shared" si="0"/>
        <v>1</v>
      </c>
      <c r="G39" s="13"/>
      <c r="H39" s="13"/>
    </row>
  </sheetData>
  <mergeCells count="2">
    <mergeCell ref="B2:C2"/>
    <mergeCell ref="D25:H25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2596-55E3-4BFF-9832-8002B3AAE679}">
  <dimension ref="C12:J32"/>
  <sheetViews>
    <sheetView tabSelected="1" topLeftCell="E31" workbookViewId="0">
      <selection activeCell="F31" sqref="F31"/>
    </sheetView>
  </sheetViews>
  <sheetFormatPr baseColWidth="10" defaultRowHeight="13.2"/>
  <sheetData>
    <row r="12" spans="3:3">
      <c r="C12" s="1"/>
    </row>
    <row r="26" spans="6:10" ht="13.8" thickBot="1">
      <c r="F26" s="16"/>
    </row>
    <row r="27" spans="6:10" ht="28.2" thickBot="1">
      <c r="F27" s="17" t="s">
        <v>14</v>
      </c>
      <c r="G27" s="17" t="s">
        <v>9</v>
      </c>
      <c r="H27" s="17" t="s">
        <v>10</v>
      </c>
      <c r="I27" s="17" t="s">
        <v>11</v>
      </c>
      <c r="J27" s="17" t="s">
        <v>15</v>
      </c>
    </row>
    <row r="28" spans="6:10" ht="42" thickBot="1">
      <c r="F28" s="18" t="s">
        <v>16</v>
      </c>
      <c r="G28" s="18">
        <v>4</v>
      </c>
      <c r="H28" s="18" t="s">
        <v>17</v>
      </c>
      <c r="I28" s="18" t="s">
        <v>17</v>
      </c>
      <c r="J28" s="18" t="s">
        <v>18</v>
      </c>
    </row>
    <row r="29" spans="6:10" ht="42" thickBot="1">
      <c r="F29" s="18" t="s">
        <v>19</v>
      </c>
      <c r="G29" s="18">
        <v>6</v>
      </c>
      <c r="H29" s="18" t="s">
        <v>20</v>
      </c>
      <c r="I29" s="18" t="s">
        <v>21</v>
      </c>
      <c r="J29" s="18" t="s">
        <v>18</v>
      </c>
    </row>
    <row r="30" spans="6:10" ht="42" thickBot="1">
      <c r="F30" s="18" t="s">
        <v>22</v>
      </c>
      <c r="G30" s="18">
        <v>5</v>
      </c>
      <c r="H30" s="18" t="s">
        <v>23</v>
      </c>
      <c r="I30" s="18" t="s">
        <v>24</v>
      </c>
      <c r="J30" s="18" t="s">
        <v>18</v>
      </c>
    </row>
    <row r="31" spans="6:10" ht="42" thickBot="1">
      <c r="F31" s="18" t="s">
        <v>25</v>
      </c>
      <c r="G31" s="18">
        <v>5</v>
      </c>
      <c r="H31" s="18" t="s">
        <v>23</v>
      </c>
      <c r="I31" s="18">
        <v>1</v>
      </c>
      <c r="J31" s="18" t="s">
        <v>18</v>
      </c>
    </row>
    <row r="32" spans="6:10" ht="42" thickBot="1">
      <c r="F32" s="18" t="s">
        <v>26</v>
      </c>
      <c r="G32" s="18">
        <v>20</v>
      </c>
      <c r="H32" s="18">
        <v>1</v>
      </c>
      <c r="I32" s="19"/>
      <c r="J32" s="18" t="s">
        <v>18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 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Jules Didry</cp:lastModifiedBy>
  <dcterms:modified xsi:type="dcterms:W3CDTF">2025-01-22T15:22:13Z</dcterms:modified>
</cp:coreProperties>
</file>